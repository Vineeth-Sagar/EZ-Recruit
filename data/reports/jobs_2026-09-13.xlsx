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ay's Jobs" sheetId="1" state="visible" r:id="rId1"/>
    <sheet xmlns:r="http://schemas.openxmlformats.org/officeDocument/2006/relationships" name="📉 Skills Gap" sheetId="2" state="visible" r:id="rId2"/>
    <sheet xmlns:r="http://schemas.openxmlformats.org/officeDocument/2006/relationships" name="🏆 Watchlist" sheetId="3" state="visible" r:id="rId3"/>
    <sheet xmlns:r="http://schemas.openxmlformats.org/officeDocument/2006/relationships" name="📊 Summary" sheetId="4" state="visible" r:id="rId4"/>
  </sheets>
  <definedNames>
    <definedName name="_xlnm._FilterDatabase" localSheetId="0" hidden="1">'📋 Today''s Jobs'!$A$1:$P$1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color rgb="000563C1"/>
      <u val="single"/>
    </font>
    <font>
      <b val="1"/>
      <sz val="11"/>
    </font>
    <font>
      <b val="1"/>
      <sz val="10"/>
    </font>
    <font>
      <i val="1"/>
      <sz val="10"/>
    </font>
    <font>
      <b val="1"/>
    </font>
    <font>
      <b val="1"/>
      <sz val="14"/>
    </font>
    <font>
      <i val="1"/>
    </font>
    <font>
      <b val="1"/>
      <sz val="12"/>
    </font>
  </fonts>
  <fills count="7">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FFDAB9"/>
        <bgColor rgb="00FFDAB9"/>
      </patternFill>
    </fill>
    <fill>
      <patternFill patternType="solid">
        <fgColor rgb="00FFFFFF"/>
        <b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2" fillId="4" borderId="1" applyAlignment="1" pivotButton="0" quotePrefix="0" xfId="0">
      <alignment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2" fillId="5" borderId="1" applyAlignment="1" pivotButton="0" quotePrefix="0" xfId="0">
      <alignment vertical="center" wrapText="1"/>
    </xf>
    <xf numFmtId="0" fontId="4" fillId="5" borderId="1" applyAlignment="1" pivotButton="0" quotePrefix="0" xfId="0">
      <alignment horizontal="center" vertical="center"/>
    </xf>
    <xf numFmtId="0" fontId="3" fillId="5" borderId="1" applyAlignment="1" pivotButton="0" quotePrefix="0" xfId="0">
      <alignment vertical="center" wrapText="1"/>
    </xf>
    <xf numFmtId="0" fontId="2" fillId="6" borderId="1" applyAlignment="1" pivotButton="0" quotePrefix="0" xfId="0">
      <alignment vertical="center" wrapText="1"/>
    </xf>
    <xf numFmtId="0" fontId="4" fillId="6" borderId="1" applyAlignment="1" pivotButton="0" quotePrefix="0" xfId="0">
      <alignment horizontal="center" vertical="center"/>
    </xf>
    <xf numFmtId="0" fontId="3" fillId="6" borderId="1"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3"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Missing Skills This Week</a:t>
            </a:r>
          </a:p>
        </rich>
      </tx>
    </title>
    <plotArea>
      <barChart>
        <barDir val="bar"/>
        <grouping val="clustered"/>
        <ser>
          <idx val="0"/>
          <order val="0"/>
          <tx>
            <strRef>
              <f>'📉 Skills Gap'!B1</f>
            </strRef>
          </tx>
          <spPr>
            <a:ln xmlns:a="http://schemas.openxmlformats.org/drawingml/2006/main">
              <a:prstDash val="solid"/>
            </a:ln>
          </spPr>
          <cat>
            <numRef>
              <f>'📉 Skills Gap'!$A$2:$A$16</f>
            </numRef>
          </cat>
          <val>
            <numRef>
              <f>'📉 Skills Gap'!$B$2:$B$16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Jobs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Skill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66478934" TargetMode="External" Id="rId1"/><Relationship Type="http://schemas.openxmlformats.org/officeDocument/2006/relationships/hyperlink" Target="https://www.linkedin.com/jobs/view/4465415687" TargetMode="External" Id="rId2"/><Relationship Type="http://schemas.openxmlformats.org/officeDocument/2006/relationships/hyperlink" Target="https://www.linkedin.com/jobs/view/4464874527" TargetMode="External" Id="rId3"/><Relationship Type="http://schemas.openxmlformats.org/officeDocument/2006/relationships/hyperlink" Target="https://in.indeed.com/viewjob?jk=d69386fff53bc6c3" TargetMode="External" Id="rId4"/><Relationship Type="http://schemas.openxmlformats.org/officeDocument/2006/relationships/hyperlink" Target="https://in.indeed.com/viewjob?jk=57671b4141992b15" TargetMode="External" Id="rId5"/><Relationship Type="http://schemas.openxmlformats.org/officeDocument/2006/relationships/hyperlink" Target="https://www.linkedin.com/jobs/view/4457238155" TargetMode="External" Id="rId6"/><Relationship Type="http://schemas.openxmlformats.org/officeDocument/2006/relationships/hyperlink" Target="https://www.linkedin.com/jobs/view/4465418567" TargetMode="External" Id="rId7"/><Relationship Type="http://schemas.openxmlformats.org/officeDocument/2006/relationships/hyperlink" Target="https://www.linkedin.com/jobs/view/4465414396" TargetMode="External" Id="rId8"/></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https://www.linkedin.com/jobs/view/4465414396" TargetMode="External" Id="rId1"/></Relationships>
</file>

<file path=xl/worksheets/sheet1.xml><?xml version="1.0" encoding="utf-8"?>
<worksheet xmlns="http://schemas.openxmlformats.org/spreadsheetml/2006/main">
  <sheetPr>
    <outlinePr summaryBelow="1" summaryRight="1"/>
    <pageSetUpPr/>
  </sheetPr>
  <dimension ref="A1:P9"/>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8" customWidth="1" min="4" max="4"/>
    <col width="18" customWidth="1" min="5" max="5"/>
    <col width="40" customWidth="1" min="6" max="6"/>
    <col width="18" customWidth="1" min="7" max="7"/>
    <col width="20" customWidth="1" min="8" max="8"/>
    <col width="16" customWidth="1" min="9" max="9"/>
    <col width="12" customWidth="1" min="10" max="10"/>
    <col width="35" customWidth="1" min="11" max="11"/>
    <col width="35" customWidth="1" min="12" max="12"/>
    <col width="45" customWidth="1" min="13" max="13"/>
    <col width="14" customWidth="1" min="14" max="14"/>
    <col width="14" customWidth="1" min="15" max="15"/>
    <col width="12" customWidth="1" min="16" max="16"/>
  </cols>
  <sheetData>
    <row r="1" ht="35" customHeight="1">
      <c r="A1" s="1" t="inlineStr">
        <is>
          <t>🏢 Company</t>
        </is>
      </c>
      <c r="B1" s="1" t="inlineStr">
        <is>
          <t>💼 Role</t>
        </is>
      </c>
      <c r="C1" s="1" t="inlineStr">
        <is>
          <t>🎯 Match %</t>
        </is>
      </c>
      <c r="D1" s="1" t="inlineStr">
        <is>
          <t>📄 Profile Used</t>
        </is>
      </c>
      <c r="E1" s="1" t="inlineStr">
        <is>
          <t>🌟 Urgency</t>
        </is>
      </c>
      <c r="F1" s="1" t="inlineStr">
        <is>
          <t>🔗 Apply Link</t>
        </is>
      </c>
      <c r="G1" s="1" t="inlineStr">
        <is>
          <t>📍 Location</t>
        </is>
      </c>
      <c r="H1" s="1" t="inlineStr">
        <is>
          <t>💰 Salary/Stipend</t>
        </is>
      </c>
      <c r="I1" s="1" t="inlineStr">
        <is>
          <t>🏗️ Company Type</t>
        </is>
      </c>
      <c r="J1" s="1" t="inlineStr">
        <is>
          <t>🏢 Size</t>
        </is>
      </c>
      <c r="K1" s="1" t="inlineStr">
        <is>
          <t>✅ Matched Skills</t>
        </is>
      </c>
      <c r="L1" s="1" t="inlineStr">
        <is>
          <t>❌ Missing Skills</t>
        </is>
      </c>
      <c r="M1" s="1" t="inlineStr">
        <is>
          <t>💬 Why Fit</t>
        </is>
      </c>
      <c r="N1" s="1" t="inlineStr">
        <is>
          <t>📅 Posted Date</t>
        </is>
      </c>
      <c r="O1" s="1" t="inlineStr">
        <is>
          <t>📌 Source</t>
        </is>
      </c>
      <c r="P1" s="1" t="inlineStr">
        <is>
          <t>✍️ Applied?</t>
        </is>
      </c>
    </row>
    <row r="2" ht="28" customHeight="1">
      <c r="A2" s="2" t="inlineStr">
        <is>
          <t>Alegeus</t>
        </is>
      </c>
      <c r="B2" s="2" t="inlineStr">
        <is>
          <t>Associate Software Engineer - AI</t>
        </is>
      </c>
      <c r="C2" s="3" t="inlineStr">
        <is>
          <t>85%</t>
        </is>
      </c>
      <c r="D2" s="2" t="inlineStr">
        <is>
          <t>SDE Profile</t>
        </is>
      </c>
      <c r="E2" s="2" t="inlineStr">
        <is>
          <t>🔴 Apply Today</t>
        </is>
      </c>
      <c r="F2" s="4" t="inlineStr">
        <is>
          <t>https://www.linkedin.com/jobs/view/4466478934</t>
        </is>
      </c>
      <c r="G2" s="2" t="inlineStr">
        <is>
          <t>Bengaluru East, Karnataka, India</t>
        </is>
      </c>
      <c r="H2" s="2" t="inlineStr">
        <is>
          <t xml:space="preserve"> - </t>
        </is>
      </c>
      <c r="I2" s="2" t="inlineStr">
        <is>
          <t>MNC/Product</t>
        </is>
      </c>
      <c r="J2" s="2" t="inlineStr"/>
      <c r="K2" s="2" t="inlineStr">
        <is>
          <t>LLMs, RAG pipelines, AI agents, Transformers, Reinforcement learning, Multimodal ML, Model training &amp; evaluation, Python</t>
        </is>
      </c>
      <c r="L2" s="2" t="inlineStr">
        <is>
          <t>Healthcare/benefits domain knowledge, HIPAA compliance, Production ML monitoring, A/B testing frameworks</t>
        </is>
      </c>
      <c r="M2" s="2" t="inlineStr">
        <is>
          <t>Direct alignment with AI/ML engineering role; candidate's production-grade RAG, agentic systems, and deployment experience (Kubernetes, FastAPI) match associate AI engineer requirements perfectly.</t>
        </is>
      </c>
      <c r="N2" s="2" t="inlineStr">
        <is>
          <t>nan</t>
        </is>
      </c>
      <c r="O2" s="2" t="inlineStr">
        <is>
          <t>Linkedin</t>
        </is>
      </c>
      <c r="P2" s="2" t="inlineStr"/>
    </row>
    <row r="3" ht="28" customHeight="1">
      <c r="A3" s="2" t="inlineStr">
        <is>
          <t>ICSBit Labs</t>
        </is>
      </c>
      <c r="B3" s="2" t="inlineStr">
        <is>
          <t>Junior Software Engineer – Product Development</t>
        </is>
      </c>
      <c r="C3" s="3" t="inlineStr">
        <is>
          <t>80%</t>
        </is>
      </c>
      <c r="D3" s="2" t="inlineStr">
        <is>
          <t>SDE Profile</t>
        </is>
      </c>
      <c r="E3" s="2" t="inlineStr">
        <is>
          <t>🔴 Apply Today</t>
        </is>
      </c>
      <c r="F3" s="4" t="inlineStr">
        <is>
          <t>https://www.linkedin.com/jobs/view/4465415687</t>
        </is>
      </c>
      <c r="G3" s="2" t="inlineStr">
        <is>
          <t>Bengaluru, Karnataka, India</t>
        </is>
      </c>
      <c r="H3" s="2" t="inlineStr">
        <is>
          <t xml:space="preserve"> - </t>
        </is>
      </c>
      <c r="I3" s="2" t="inlineStr">
        <is>
          <t>MNC/Product</t>
        </is>
      </c>
      <c r="J3" s="2" t="inlineStr"/>
      <c r="K3" s="2" t="inlineStr">
        <is>
          <t>Python, FastAPI, Flask, Node.js, JavaScript, Docker, Kubernetes, AWS (Lambda, S3)</t>
        </is>
      </c>
      <c r="L3" s="2" t="inlineStr">
        <is>
          <t>React/TypeScript, CI/CD pipelines, Microservices architecture, Product management collaboration</t>
        </is>
      </c>
      <c r="M3" s="2" t="inlineStr">
        <is>
          <t>Hands-on product development across cybersecurity, file transfer, and scientific data platforms demonstrates end-to-end ownership; scalable deployment experience aligns with junior product engineer needs.</t>
        </is>
      </c>
      <c r="N3" s="2" t="inlineStr">
        <is>
          <t>nan</t>
        </is>
      </c>
      <c r="O3" s="2" t="inlineStr">
        <is>
          <t>Linkedin</t>
        </is>
      </c>
      <c r="P3" s="2" t="inlineStr"/>
    </row>
    <row r="4" ht="28" customHeight="1">
      <c r="A4" s="5" t="inlineStr">
        <is>
          <t>American Express</t>
        </is>
      </c>
      <c r="B4" s="5" t="inlineStr">
        <is>
          <t>Software Engineer I</t>
        </is>
      </c>
      <c r="C4" s="6" t="inlineStr">
        <is>
          <t>75%</t>
        </is>
      </c>
      <c r="D4" s="5" t="inlineStr">
        <is>
          <t>SDE Profile</t>
        </is>
      </c>
      <c r="E4" s="5" t="inlineStr">
        <is>
          <t>🟡 This Week</t>
        </is>
      </c>
      <c r="F4" s="7" t="inlineStr">
        <is>
          <t>https://www.linkedin.com/jobs/view/4464874527</t>
        </is>
      </c>
      <c r="G4" s="5" t="inlineStr">
        <is>
          <t>Bengaluru, Karnataka, India</t>
        </is>
      </c>
      <c r="H4" s="5" t="inlineStr">
        <is>
          <t xml:space="preserve"> - </t>
        </is>
      </c>
      <c r="I4" s="5" t="inlineStr">
        <is>
          <t>MNC/Product</t>
        </is>
      </c>
      <c r="J4" s="5" t="inlineStr"/>
      <c r="K4" s="5" t="inlineStr">
        <is>
          <t>Java, Python, Docker, Kubernetes, FastAPI, Node.js, SQL, Git</t>
        </is>
      </c>
      <c r="L4" s="5" t="inlineStr">
        <is>
          <t>Spring Boot, Enterprise Java, Microservices patterns, CI/CD pipelines, Cloud platforms (AWS/Azure/GCP)</t>
        </is>
      </c>
      <c r="M4" s="5" t="inlineStr">
        <is>
          <t>Strong backend foundation with Java/Python and container orchestration experience aligns well with AmEx's tech stack; AI/ML background adds differentiation for enterprise AI initiatives.</t>
        </is>
      </c>
      <c r="N4" s="5" t="inlineStr">
        <is>
          <t>2026-09-11</t>
        </is>
      </c>
      <c r="O4" s="5" t="inlineStr">
        <is>
          <t>Linkedin</t>
        </is>
      </c>
      <c r="P4" s="5" t="inlineStr"/>
    </row>
    <row r="5" ht="28" customHeight="1">
      <c r="A5" s="5" t="inlineStr">
        <is>
          <t>Accellor</t>
        </is>
      </c>
      <c r="B5" s="5" t="inlineStr">
        <is>
          <t>Senior AI Developer</t>
        </is>
      </c>
      <c r="C5" s="6" t="inlineStr">
        <is>
          <t>70%</t>
        </is>
      </c>
      <c r="D5" s="5" t="inlineStr">
        <is>
          <t>SDE Profile</t>
        </is>
      </c>
      <c r="E5" s="5" t="inlineStr">
        <is>
          <t>🟡 This Week</t>
        </is>
      </c>
      <c r="F5" s="7" t="inlineStr">
        <is>
          <t>https://in.indeed.com/viewjob?jk=d69386fff53bc6c3</t>
        </is>
      </c>
      <c r="G5" s="5" t="inlineStr">
        <is>
          <t>KA, IN</t>
        </is>
      </c>
      <c r="H5" s="5" t="inlineStr">
        <is>
          <t xml:space="preserve"> - </t>
        </is>
      </c>
      <c r="I5" s="5" t="inlineStr">
        <is>
          <t>MNC/Product</t>
        </is>
      </c>
      <c r="J5" s="5" t="inlineStr">
        <is>
          <t>nan</t>
        </is>
      </c>
      <c r="K5" s="5" t="inlineStr">
        <is>
          <t>LLMs, RAG pipelines, AI agents, Transformers, NLP, Multimodal ML, Model training/evaluation, Python</t>
        </is>
      </c>
      <c r="L5" s="5" t="inlineStr">
        <is>
          <t>Computer vision, Recommendation engines, Chatbot frameworks, Senior-level AI architecture, Production ML scaling, Business value translation</t>
        </is>
      </c>
      <c r="M5" s="5" t="inlineStr">
        <is>
          <t>Exceptional AI/ML technical match with hands-on LLM, RAG, and agent experience; senior title may overstate required experience but core competencies are strong.</t>
        </is>
      </c>
      <c r="N5" s="5" t="inlineStr">
        <is>
          <t>2026-09-11</t>
        </is>
      </c>
      <c r="O5" s="5" t="inlineStr">
        <is>
          <t>Indeed</t>
        </is>
      </c>
      <c r="P5" s="5" t="inlineStr"/>
    </row>
    <row r="6" ht="28" customHeight="1">
      <c r="A6" s="8" t="inlineStr">
        <is>
          <t>American Express</t>
        </is>
      </c>
      <c r="B6" s="8" t="inlineStr">
        <is>
          <t>Software Engineer II</t>
        </is>
      </c>
      <c r="C6" s="9" t="inlineStr">
        <is>
          <t>50%</t>
        </is>
      </c>
      <c r="D6" s="8" t="inlineStr">
        <is>
          <t>SDE Profile</t>
        </is>
      </c>
      <c r="E6" s="8" t="inlineStr">
        <is>
          <t>🟡 This Week</t>
        </is>
      </c>
      <c r="F6" s="10" t="inlineStr">
        <is>
          <t>https://in.indeed.com/viewjob?jk=57671b4141992b15</t>
        </is>
      </c>
      <c r="G6" s="8" t="inlineStr">
        <is>
          <t>KA, IN</t>
        </is>
      </c>
      <c r="H6" s="8" t="inlineStr">
        <is>
          <t xml:space="preserve"> - </t>
        </is>
      </c>
      <c r="I6" s="8" t="inlineStr">
        <is>
          <t>MNC/Product</t>
        </is>
      </c>
      <c r="J6" s="8" t="inlineStr">
        <is>
          <t>10,000+</t>
        </is>
      </c>
      <c r="K6" s="8" t="inlineStr">
        <is>
          <t>Java, Python, Docker, Kubernetes, AWS, Git, REST APIs, Enterprise architecture awareness</t>
        </is>
      </c>
      <c r="L6" s="8" t="inlineStr">
        <is>
          <t>Spring Boot, Enterprise Java, Microservices at scale, Information security, Data governance, Platform engineering</t>
        </is>
      </c>
      <c r="M6" s="8" t="inlineStr">
        <is>
          <t>Relevant enterprise technology skills but missing Spring Boot specialization and senior SE2 experience; AmEx values platform/architecture experience.</t>
        </is>
      </c>
      <c r="N6" s="8" t="inlineStr">
        <is>
          <t>2026-09-11</t>
        </is>
      </c>
      <c r="O6" s="8" t="inlineStr">
        <is>
          <t>Indeed</t>
        </is>
      </c>
      <c r="P6" s="8" t="inlineStr"/>
    </row>
    <row r="7" ht="28" customHeight="1">
      <c r="A7" s="5" t="inlineStr">
        <is>
          <t>PrimePro Technologies AI LLC</t>
        </is>
      </c>
      <c r="B7" s="5" t="inlineStr">
        <is>
          <t>2-MONTH TRAINING → 100% JOB OPPORTUNITY(Website &amp; App Developer)</t>
        </is>
      </c>
      <c r="C7" s="6" t="inlineStr">
        <is>
          <t>60%</t>
        </is>
      </c>
      <c r="D7" s="5" t="inlineStr">
        <is>
          <t>SDE Profile</t>
        </is>
      </c>
      <c r="E7" s="5" t="inlineStr">
        <is>
          <t>🟢 This Month</t>
        </is>
      </c>
      <c r="F7" s="7" t="inlineStr">
        <is>
          <t>https://www.linkedin.com/jobs/view/4457238155</t>
        </is>
      </c>
      <c r="G7" s="5" t="inlineStr">
        <is>
          <t>Bengaluru, Karnataka, India</t>
        </is>
      </c>
      <c r="H7" s="5" t="inlineStr">
        <is>
          <t xml:space="preserve"> - </t>
        </is>
      </c>
      <c r="I7" s="5" t="inlineStr">
        <is>
          <t>MNC/Product</t>
        </is>
      </c>
      <c r="J7" s="5" t="inlineStr"/>
      <c r="K7" s="5" t="inlineStr">
        <is>
          <t>JavaScript, Node.js, Python, FastAPI, Flask, Docker, Git, SQL</t>
        </is>
      </c>
      <c r="L7" s="5" t="inlineStr">
        <is>
          <t>React, MongoDB, Express.js, Frontend frameworks, Mobile development (React Native/Flutter)</t>
        </is>
      </c>
      <c r="M7" s="5" t="inlineStr">
        <is>
          <t>Full-stack capabilities match training program scope, but candidate's advanced AI/ML background may exceed program level; good for rapid upskilling in MERN if desired.</t>
        </is>
      </c>
      <c r="N7" s="5" t="inlineStr">
        <is>
          <t>nan</t>
        </is>
      </c>
      <c r="O7" s="5" t="inlineStr">
        <is>
          <t>Linkedin</t>
        </is>
      </c>
      <c r="P7" s="5" t="inlineStr"/>
    </row>
    <row r="8" ht="28" customHeight="1">
      <c r="A8" s="8" t="inlineStr">
        <is>
          <t>InnovKaro Solutions</t>
        </is>
      </c>
      <c r="B8" s="8" t="inlineStr">
        <is>
          <t>MERN Stack Developer</t>
        </is>
      </c>
      <c r="C8" s="9" t="inlineStr">
        <is>
          <t>50%</t>
        </is>
      </c>
      <c r="D8" s="8" t="inlineStr">
        <is>
          <t>SDE Profile</t>
        </is>
      </c>
      <c r="E8" s="8" t="inlineStr">
        <is>
          <t>🟢 This Month</t>
        </is>
      </c>
      <c r="F8" s="10" t="inlineStr">
        <is>
          <t>https://www.linkedin.com/jobs/view/4465418567</t>
        </is>
      </c>
      <c r="G8" s="8" t="inlineStr">
        <is>
          <t>Bengaluru, Karnataka, India</t>
        </is>
      </c>
      <c r="H8" s="8" t="inlineStr">
        <is>
          <t xml:space="preserve"> - </t>
        </is>
      </c>
      <c r="I8" s="8" t="inlineStr">
        <is>
          <t>MNC/Product</t>
        </is>
      </c>
      <c r="J8" s="8" t="inlineStr"/>
      <c r="K8" s="8" t="inlineStr">
        <is>
          <t>JavaScript, Node.js, Python, SQL, Git, Docker, REST APIs</t>
        </is>
      </c>
      <c r="L8" s="8" t="inlineStr">
        <is>
          <t>React, MongoDB, Express.js, MERN stack specifics, Frontend state management, TypeScript</t>
        </is>
      </c>
      <c r="M8" s="8" t="inlineStr">
        <is>
          <t>Backend JavaScript/Node.js skills partially transfer but missing core MERN frontend (React) and database (MongoDB) expertise; better suited for full-stack Python/Node roles.</t>
        </is>
      </c>
      <c r="N8" s="8" t="inlineStr">
        <is>
          <t>nan</t>
        </is>
      </c>
      <c r="O8" s="8" t="inlineStr">
        <is>
          <t>Linkedin</t>
        </is>
      </c>
      <c r="P8" s="8" t="inlineStr"/>
    </row>
    <row r="9" ht="28" customHeight="1">
      <c r="A9" s="11" t="inlineStr">
        <is>
          <t>Deloitte</t>
        </is>
      </c>
      <c r="B9" s="11" t="inlineStr">
        <is>
          <t>JAVA Microservices -Managed Services Engineer II</t>
        </is>
      </c>
      <c r="C9" s="12" t="inlineStr">
        <is>
          <t>8%</t>
        </is>
      </c>
      <c r="D9" s="11" t="inlineStr">
        <is>
          <t>SDE Profile</t>
        </is>
      </c>
      <c r="E9" s="11" t="inlineStr">
        <is>
          <t>🟢 This Month</t>
        </is>
      </c>
      <c r="F9" s="13" t="inlineStr">
        <is>
          <t>https://www.linkedin.com/jobs/view/4465414396</t>
        </is>
      </c>
      <c r="G9" s="11" t="inlineStr">
        <is>
          <t>Bengaluru, Karnataka, India</t>
        </is>
      </c>
      <c r="H9" s="11" t="inlineStr">
        <is>
          <t xml:space="preserve"> - </t>
        </is>
      </c>
      <c r="I9" s="11" t="inlineStr">
        <is>
          <t>MNC/Product</t>
        </is>
      </c>
      <c r="J9" s="11" t="inlineStr">
        <is>
          <t>nan</t>
        </is>
      </c>
      <c r="K9" s="11" t="inlineStr">
        <is>
          <t>java, c</t>
        </is>
      </c>
      <c r="L9" s="11" t="inlineStr"/>
      <c r="M9" s="11" t="inlineStr">
        <is>
          <t>Keyword-based match (AI scoring unavailable)</t>
        </is>
      </c>
      <c r="N9" s="11" t="inlineStr">
        <is>
          <t>nan</t>
        </is>
      </c>
      <c r="O9" s="11" t="inlineStr">
        <is>
          <t>Linkedin</t>
        </is>
      </c>
      <c r="P9" s="11" t="inlineStr"/>
    </row>
  </sheetData>
  <autoFilter ref="A1:P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40" customWidth="1" min="3" max="3"/>
  </cols>
  <sheetData>
    <row r="1">
      <c r="A1" s="14" t="inlineStr">
        <is>
          <t>Missing Skill</t>
        </is>
      </c>
      <c r="B1" s="14" t="inlineStr">
        <is>
          <t>Jobs Affected</t>
        </is>
      </c>
      <c r="C1" s="14" t="inlineStr">
        <is>
          <t>Suggested Resource</t>
        </is>
      </c>
    </row>
    <row r="2">
      <c r="A2" s="15" t="inlineStr">
        <is>
          <t>Spring Boot</t>
        </is>
      </c>
      <c r="B2" s="16" t="n">
        <v>2</v>
      </c>
      <c r="C2" s="17" t="inlineStr">
        <is>
          <t>Search Coursera / YouTube</t>
        </is>
      </c>
    </row>
    <row r="3">
      <c r="A3" s="15" t="inlineStr">
        <is>
          <t>Enterprise Java</t>
        </is>
      </c>
      <c r="B3" s="16" t="n">
        <v>2</v>
      </c>
      <c r="C3" s="17" t="inlineStr">
        <is>
          <t>Search Coursera / YouTube</t>
        </is>
      </c>
    </row>
    <row r="4">
      <c r="A4" s="15" t="inlineStr">
        <is>
          <t>CI/CD pipelines</t>
        </is>
      </c>
      <c r="B4" s="16" t="n">
        <v>2</v>
      </c>
      <c r="C4" s="17" t="inlineStr">
        <is>
          <t>Search Coursera / YouTube</t>
        </is>
      </c>
    </row>
    <row r="5">
      <c r="A5" s="15" t="inlineStr">
        <is>
          <t>React</t>
        </is>
      </c>
      <c r="B5" s="16" t="n">
        <v>2</v>
      </c>
      <c r="C5" s="17" t="inlineStr">
        <is>
          <t>react.dev (official)</t>
        </is>
      </c>
    </row>
    <row r="6">
      <c r="A6" s="15" t="inlineStr">
        <is>
          <t>MongoDB</t>
        </is>
      </c>
      <c r="B6" s="16" t="n">
        <v>2</v>
      </c>
      <c r="C6" s="17" t="inlineStr">
        <is>
          <t>Search Coursera / YouTube</t>
        </is>
      </c>
    </row>
    <row r="7">
      <c r="A7" s="15" t="inlineStr">
        <is>
          <t>Express.js</t>
        </is>
      </c>
      <c r="B7" s="16" t="n">
        <v>2</v>
      </c>
      <c r="C7" s="17" t="inlineStr">
        <is>
          <t>Search Coursera / YouTube</t>
        </is>
      </c>
    </row>
    <row r="8">
      <c r="A8" s="15" t="inlineStr">
        <is>
          <t>Microservices patterns</t>
        </is>
      </c>
      <c r="B8" s="16" t="n">
        <v>1</v>
      </c>
      <c r="C8" s="17" t="inlineStr">
        <is>
          <t>Search Coursera / YouTube</t>
        </is>
      </c>
    </row>
    <row r="9">
      <c r="A9" s="15" t="inlineStr">
        <is>
          <t>Cloud platforms (AWS/Azure/GCP)</t>
        </is>
      </c>
      <c r="B9" s="16" t="n">
        <v>1</v>
      </c>
      <c r="C9" s="17" t="inlineStr">
        <is>
          <t>AWS Free Tier + CloudQuest</t>
        </is>
      </c>
    </row>
    <row r="10">
      <c r="A10" s="15" t="inlineStr">
        <is>
          <t>Frontend frameworks</t>
        </is>
      </c>
      <c r="B10" s="16" t="n">
        <v>1</v>
      </c>
      <c r="C10" s="17" t="inlineStr">
        <is>
          <t>Search Coursera / YouTube</t>
        </is>
      </c>
    </row>
    <row r="11">
      <c r="A11" s="15" t="inlineStr">
        <is>
          <t>Mobile development (React Native/Flutter)</t>
        </is>
      </c>
      <c r="B11" s="16" t="n">
        <v>1</v>
      </c>
      <c r="C11" s="17" t="inlineStr">
        <is>
          <t>react.dev (official)</t>
        </is>
      </c>
    </row>
    <row r="12">
      <c r="A12" s="15" t="inlineStr">
        <is>
          <t>Healthcare/benefits domain knowledge</t>
        </is>
      </c>
      <c r="B12" s="16" t="n">
        <v>1</v>
      </c>
      <c r="C12" s="17" t="inlineStr">
        <is>
          <t>Search Coursera / YouTube</t>
        </is>
      </c>
    </row>
    <row r="13">
      <c r="A13" s="15" t="inlineStr">
        <is>
          <t>HIPAA compliance</t>
        </is>
      </c>
      <c r="B13" s="16" t="n">
        <v>1</v>
      </c>
      <c r="C13" s="17" t="inlineStr">
        <is>
          <t>Search Coursera / YouTube</t>
        </is>
      </c>
    </row>
    <row r="14">
      <c r="A14" s="15" t="inlineStr">
        <is>
          <t>Production ML monitoring</t>
        </is>
      </c>
      <c r="B14" s="16" t="n">
        <v>1</v>
      </c>
      <c r="C14" s="17" t="inlineStr">
        <is>
          <t>Search Coursera / YouTube</t>
        </is>
      </c>
    </row>
    <row r="15">
      <c r="A15" s="15" t="inlineStr">
        <is>
          <t>A/B testing frameworks</t>
        </is>
      </c>
      <c r="B15" s="16" t="n">
        <v>1</v>
      </c>
      <c r="C15" s="17" t="inlineStr">
        <is>
          <t>Search Coursera / YouTube</t>
        </is>
      </c>
    </row>
    <row r="16">
      <c r="A16" s="15" t="inlineStr">
        <is>
          <t>React/TypeScript</t>
        </is>
      </c>
      <c r="B16" s="16" t="n">
        <v>1</v>
      </c>
      <c r="C16" s="17" t="inlineStr">
        <is>
          <t>react.dev (official)</t>
        </is>
      </c>
    </row>
    <row r="17">
      <c r="A17" s="15" t="inlineStr">
        <is>
          <t>Microservices architecture</t>
        </is>
      </c>
      <c r="B17" s="16" t="n">
        <v>1</v>
      </c>
      <c r="C17" s="17" t="inlineStr">
        <is>
          <t>Search Coursera / YouTube</t>
        </is>
      </c>
    </row>
    <row r="18">
      <c r="A18" s="15" t="inlineStr">
        <is>
          <t>Product management collaboration</t>
        </is>
      </c>
      <c r="B18" s="16" t="n">
        <v>1</v>
      </c>
      <c r="C18" s="17" t="inlineStr">
        <is>
          <t>Search Coursera / YouTube</t>
        </is>
      </c>
    </row>
    <row r="19">
      <c r="A19" s="15" t="inlineStr">
        <is>
          <t>MERN stack specifics</t>
        </is>
      </c>
      <c r="B19" s="16" t="n">
        <v>1</v>
      </c>
      <c r="C19" s="17" t="inlineStr">
        <is>
          <t>Search Coursera / YouTube</t>
        </is>
      </c>
    </row>
    <row r="20">
      <c r="A20" s="15" t="inlineStr">
        <is>
          <t>Frontend state management</t>
        </is>
      </c>
      <c r="B20" s="16" t="n">
        <v>1</v>
      </c>
      <c r="C20" s="17" t="inlineStr">
        <is>
          <t>Search Coursera / YouTube</t>
        </is>
      </c>
    </row>
    <row r="21">
      <c r="A21" s="15" t="inlineStr">
        <is>
          <t>TypeScript</t>
        </is>
      </c>
      <c r="B21" s="16" t="n">
        <v>1</v>
      </c>
      <c r="C21" s="17" t="inlineStr">
        <is>
          <t>typescriptlang.org</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2" customWidth="1" min="1" max="1"/>
    <col width="28" customWidth="1" min="2" max="2"/>
    <col width="12" customWidth="1" min="3" max="3"/>
    <col width="40" customWidth="1" min="4" max="4"/>
    <col width="14" customWidth="1" min="5" max="5"/>
  </cols>
  <sheetData>
    <row r="1">
      <c r="A1" s="14" t="inlineStr">
        <is>
          <t>🏢 Company</t>
        </is>
      </c>
      <c r="B1" s="14" t="inlineStr">
        <is>
          <t>💼 Role</t>
        </is>
      </c>
      <c r="C1" s="14" t="inlineStr">
        <is>
          <t>🎯 Match %</t>
        </is>
      </c>
      <c r="D1" s="14" t="inlineStr">
        <is>
          <t>🔗 Apply</t>
        </is>
      </c>
      <c r="E1" s="14" t="inlineStr">
        <is>
          <t>📅 Posted</t>
        </is>
      </c>
    </row>
    <row r="2">
      <c r="A2" t="inlineStr">
        <is>
          <t>Deloitte</t>
        </is>
      </c>
      <c r="B2" t="inlineStr">
        <is>
          <t>JAVA Microservices -Managed Services Engineer II</t>
        </is>
      </c>
      <c r="C2" s="18" t="inlineStr">
        <is>
          <t>8%</t>
        </is>
      </c>
      <c r="D2" s="19" t="inlineStr">
        <is>
          <t>https://www.linkedin.com/jobs/view/4465414396</t>
        </is>
      </c>
      <c r="E2" t="inlineStr">
        <is>
          <t>nan</t>
        </is>
      </c>
    </row>
  </sheetData>
  <hyperlinks>
    <hyperlink xmlns:r="http://schemas.openxmlformats.org/officeDocument/2006/relationships" ref="D2"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55" customWidth="1" min="2" max="2"/>
  </cols>
  <sheetData>
    <row r="1">
      <c r="A1" s="20" t="inlineStr">
        <is>
          <t>📊 DAILY REPORT SUMMARY</t>
        </is>
      </c>
    </row>
    <row r="2">
      <c r="A2" s="21" t="inlineStr">
        <is>
          <t>Generated: September 13, 2026</t>
        </is>
      </c>
    </row>
    <row r="4">
      <c r="A4" s="18" t="inlineStr">
        <is>
          <t>Total jobs found today</t>
        </is>
      </c>
      <c r="B4" t="inlineStr">
        <is>
          <t>8</t>
        </is>
      </c>
    </row>
    <row r="5">
      <c r="A5" s="18" t="inlineStr">
        <is>
          <t>80–100% match (🟢 Apply Now)</t>
        </is>
      </c>
      <c r="B5" t="inlineStr">
        <is>
          <t>2</t>
        </is>
      </c>
    </row>
    <row r="6">
      <c r="A6" s="18" t="inlineStr">
        <is>
          <t>60–79% match (🟡 Strong)</t>
        </is>
      </c>
      <c r="B6" t="inlineStr">
        <is>
          <t>3</t>
        </is>
      </c>
    </row>
    <row r="7">
      <c r="A7" s="18" t="inlineStr">
        <is>
          <t>40–59% match (🟠 Consider)</t>
        </is>
      </c>
      <c r="B7" t="inlineStr">
        <is>
          <t>2</t>
        </is>
      </c>
    </row>
    <row r="8">
      <c r="A8" s="18" t="inlineStr">
        <is>
          <t>Urgent (Apply Today 🔴)</t>
        </is>
      </c>
      <c r="B8" t="inlineStr">
        <is>
          <t>2</t>
        </is>
      </c>
    </row>
    <row r="9">
      <c r="A9" s="18" t="inlineStr">
        <is>
          <t>Top source</t>
        </is>
      </c>
      <c r="B9" t="inlineStr">
        <is>
          <t>Linkedin</t>
        </is>
      </c>
    </row>
    <row r="10">
      <c r="A10" s="18" t="inlineStr">
        <is>
          <t>Best match job</t>
        </is>
      </c>
      <c r="B10" t="inlineStr">
        <is>
          <t>Associate Software Engineer - AI</t>
        </is>
      </c>
    </row>
    <row r="11">
      <c r="A11" s="18" t="inlineStr">
        <is>
          <t>Best match company</t>
        </is>
      </c>
      <c r="B11" t="inlineStr">
        <is>
          <t>Alegeus</t>
        </is>
      </c>
    </row>
    <row r="12">
      <c r="A12" s="18" t="inlineStr">
        <is>
          <t>Best match %</t>
        </is>
      </c>
      <c r="B12" t="inlineStr">
        <is>
          <t>85%</t>
        </is>
      </c>
    </row>
    <row r="14">
      <c r="A14" s="22" t="inlineStr">
        <is>
          <t>🧠 RESUME IMPROVEMENT TIPS</t>
        </is>
      </c>
    </row>
    <row r="15">
      <c r="A15" t="inlineStr">
        <is>
          <t>💡 Tip 1</t>
        </is>
      </c>
      <c r="B15" t="inlineStr">
        <is>
          <t>Prominently feature Spring Boot and Enterprise Java experience by rephrasing existing Java roles into 'Spring Boot microservices development' and listing specific modules (e.g., dependency injection, REST APIs, embedded servers) to match the top required skill.</t>
        </is>
      </c>
    </row>
    <row r="16">
      <c r="A16" t="inlineStr">
        <is>
          <t>💡 Tip 2</t>
        </is>
      </c>
      <c r="B16" t="inlineStr">
        <is>
          <t>Create a dedicated 'CI/CD &amp; Cloud Platforms' section that quantifies pipeline automation (e.g., 'Automated build, test, and deployment pipelines using GitHub Actions/Azure DevOps on AWS/Azure') and lists cloud services used, directly addressing the #1 missing skill category.</t>
        </is>
      </c>
    </row>
    <row r="17">
      <c r="A17" t="inlineStr">
        <is>
          <t>💡 Tip 3</t>
        </is>
      </c>
      <c r="B17" t="inlineStr">
        <is>
          <t>Add a 'Frontend &amp; Full-Stack Integration' subsection highlighting React/TypeScript familiarity, component-based design, and any JavaScript/Node.js projects that integrate with backend APIs, bridging the gap between Node.js experience and missing React frameworks.</t>
        </is>
      </c>
    </row>
    <row r="18">
      <c r="A18" t="inlineStr">
        <is>
          <t>💡 Tip 4</t>
        </is>
      </c>
      <c r="B18" t="inlineStr">
        <is>
          <t>Explicitly embed Healthcare/benefits domain knowledge and HIPAA compliance keywords throughout the resume, such as 'Designed HIPAA-compliant data pipelines' or 'Built ML models for benefits optimization within healthcare regulatory frameworks,' to match domain-specific job requirements.</t>
        </is>
      </c>
    </row>
    <row r="19">
      <c r="A19" t="inlineStr">
        <is>
          <t>💡 Tip 5</t>
        </is>
      </c>
      <c r="B19" t="inlineStr">
        <is>
          <t>Surface Production ML monitoring, A/B testing, and microservices deployment experience by creating an 'ML Operations &amp; Deployment' section that details model monitoring setups, A/B testing frameworks used, and deployment via containerized microservices, aligning with top missing skills like Production ML monitoring and A/B testing frameworks.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2026-09-13T06:52:25Z</dcterms:created>
  <dcterms:modified xmlns:dcterms="http://purl.org/dc/terms/" xmlns:xsi="http://www.w3.org/2001/XMLSchema-instance" xsi:type="dcterms:W3CDTF">2026-09-13T06:52:25Z</dcterms:modified>
</cp:coreProperties>
</file>